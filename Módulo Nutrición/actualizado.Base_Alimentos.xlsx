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\Desktop\modulo de nutrición dieta\Alimentación\"/>
    </mc:Choice>
  </mc:AlternateContent>
  <bookViews>
    <workbookView xWindow="0" yWindow="0" windowWidth="23040" windowHeight="10512" activeTab="2"/>
  </bookViews>
  <sheets>
    <sheet name="Constructor" sheetId="1" r:id="rId1"/>
    <sheet name="Guía" sheetId="2" r:id="rId2"/>
    <sheet name="Factores_Coccion" sheetId="6" r:id="rId3"/>
  </sheets>
  <calcPr calcId="162913"/>
  <extLst>
    <ext uri="GoogleSheetsCustomDataVersion2">
      <go:sheetsCustomData xmlns:go="http://customooxmlschemas.google.com/" r:id="rId10" roundtripDataChecksum="Rzm94amrZgCEnBCO8mGb5IkfDziDqitt4Of2W/1gW7E="/>
    </ext>
  </extLst>
</workbook>
</file>

<file path=xl/calcChain.xml><?xml version="1.0" encoding="utf-8"?>
<calcChain xmlns="http://schemas.openxmlformats.org/spreadsheetml/2006/main">
  <c r="I24" i="1" l="1"/>
  <c r="H24" i="1"/>
  <c r="G24" i="1"/>
  <c r="F24" i="1"/>
  <c r="E24" i="1"/>
  <c r="D24" i="1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E25" i="1" l="1"/>
  <c r="F25" i="1"/>
  <c r="G25" i="1"/>
  <c r="D25" i="1"/>
  <c r="H25" i="1"/>
</calcChain>
</file>

<file path=xl/sharedStrings.xml><?xml version="1.0" encoding="utf-8"?>
<sst xmlns="http://schemas.openxmlformats.org/spreadsheetml/2006/main" count="132" uniqueCount="108">
  <si>
    <t>CONSTRUCTOR DE COMIDAS — macros + fibra (referencia Base)</t>
  </si>
  <si>
    <t>Elige alimento y gramos. Calcula automáticamente Kcal/P/G/C y Fibra desde la hoja 'Base'.</t>
  </si>
  <si>
    <t>Comida</t>
  </si>
  <si>
    <t>Alimento</t>
  </si>
  <si>
    <t>Gramos</t>
  </si>
  <si>
    <t>Kcal</t>
  </si>
  <si>
    <t>Proteínas (g)</t>
  </si>
  <si>
    <t>Grasas (g)</t>
  </si>
  <si>
    <t>Carbohidratos (g)</t>
  </si>
  <si>
    <t>Fibra (g)</t>
  </si>
  <si>
    <t>Sustituible por</t>
  </si>
  <si>
    <t>TOTAL</t>
  </si>
  <si>
    <t>GUÍA DE USO — BASE DE ALIMENTOS (MindFeed)</t>
  </si>
  <si>
    <t>Objetivo: convertir macros → comidas. La hoja 'Base' es la fuente maestra. Omnívoro y Vegetariano son vistas. Incluye campo de fibra y sustituciones.</t>
  </si>
  <si>
    <t>Campo</t>
  </si>
  <si>
    <t>Qué significa</t>
  </si>
  <si>
    <t>Ejemplos</t>
  </si>
  <si>
    <t>Uso en el generador</t>
  </si>
  <si>
    <t>Notas</t>
  </si>
  <si>
    <t>Nombre del alimento tal cual se muestra.</t>
  </si>
  <si>
    <t>Arroz integral cocido</t>
  </si>
  <si>
    <t>Mostrar al usuario y usar para búsquedas.</t>
  </si>
  <si>
    <t>Mantener nombres consistentes.</t>
  </si>
  <si>
    <t>Peso (g)</t>
  </si>
  <si>
    <t>Base de referencia de macros.</t>
  </si>
  <si>
    <t>100</t>
  </si>
  <si>
    <t>Base de cálculo por 100 g.</t>
  </si>
  <si>
    <t>Si se cambian unidades, actualizar todo.</t>
  </si>
  <si>
    <t>Kcal / P / G / C</t>
  </si>
  <si>
    <t>Valores nutricionales por 100 g.</t>
  </si>
  <si>
    <t>Pechuga de pollo: 24P</t>
  </si>
  <si>
    <t>Cálculo de raciones y ajuste de gramos.</t>
  </si>
  <si>
    <t>Aproximados; dependen de marca/cocción.</t>
  </si>
  <si>
    <t>Estado</t>
  </si>
  <si>
    <t>Forma de preparación principal detectada.</t>
  </si>
  <si>
    <t>Cocido / Plancha</t>
  </si>
  <si>
    <t>Elegir raciones realistas por estado.</t>
  </si>
  <si>
    <t>Si no aplica: Estándar.</t>
  </si>
  <si>
    <t>Categoría</t>
  </si>
  <si>
    <t>Grupo funcional para construir platos.</t>
  </si>
  <si>
    <t>Proteína animal / Carbohidrato</t>
  </si>
  <si>
    <t>Plantillas: proteína + carbo + verdura + grasa.</t>
  </si>
  <si>
    <t>Clave para sustituciones inteligentes.</t>
  </si>
  <si>
    <t>Tipo dieta</t>
  </si>
  <si>
    <t>Apto por patrón dietético.</t>
  </si>
  <si>
    <t>Omnívoro / Ambos</t>
  </si>
  <si>
    <t>Filtrar según usuario.</t>
  </si>
  <si>
    <t>'Ambos' = apto vegetariano ovo-lacto.</t>
  </si>
  <si>
    <t>Porción típica (g)</t>
  </si>
  <si>
    <t>Ración orientativa por toma.</t>
  </si>
  <si>
    <t>Arroz cocido 150 g</t>
  </si>
  <si>
    <t>Sugerencia automática de cantidades.</t>
  </si>
  <si>
    <t>Se puede personalizar por usuario.</t>
  </si>
  <si>
    <t>Tags/Alérgenos</t>
  </si>
  <si>
    <t>Etiquetas y alérgenos relevantes.</t>
  </si>
  <si>
    <t>gluten, lácteos</t>
  </si>
  <si>
    <t>Filtros y seguridad alimentaria.</t>
  </si>
  <si>
    <t>Avena: depende de certificación.</t>
  </si>
  <si>
    <t>Advertencias cortas y útiles.</t>
  </si>
  <si>
    <t>Procesado: vigilar sal</t>
  </si>
  <si>
    <t>Mostrar en UI o tooltip.</t>
  </si>
  <si>
    <t>No sustituye consejo clínico.</t>
  </si>
  <si>
    <t>ID_alimento</t>
  </si>
  <si>
    <t>Identificador estable (slug) para uso interno.</t>
  </si>
  <si>
    <t>arroz_integral_cocido</t>
  </si>
  <si>
    <t>Claves internas, búsquedas y sincronización.</t>
  </si>
  <si>
    <t>No mostrar si no hace falta en UI.</t>
  </si>
  <si>
    <t>Fibra dietética por 100 g.</t>
  </si>
  <si>
    <t>Avena: (pendiente)</t>
  </si>
  <si>
    <t>Control de calidad de dieta + métricas de saciedad.</t>
  </si>
  <si>
    <t>Por defecto 0 solo en alimentos sin fibra (animal/aceites). El resto se completa con BD externa.</t>
  </si>
  <si>
    <t>Medida casera</t>
  </si>
  <si>
    <t>Texto corto extraído de Notas (si existe).</t>
  </si>
  <si>
    <t>1 cda / 1 ud</t>
  </si>
  <si>
    <t>Mostrar porciones más ‘humanas’.</t>
  </si>
  <si>
    <t>Se alimenta de Notas; no inventar.</t>
  </si>
  <si>
    <t>Lista automática de alternativas similares (misma categoría y compatible con dieta).</t>
  </si>
  <si>
    <t>Arroz cocido → Pasta cocida; Quinoa cocida</t>
  </si>
  <si>
    <t>Sustituciones rápidas cuando el usuario no tiene un alimento.</t>
  </si>
  <si>
    <t>Generado por similitud de macros; revisar manualmente si quieres ‘curación’ premium.</t>
  </si>
  <si>
    <t>Nuevos campos (v3.2-alineado)</t>
  </si>
  <si>
    <t>Estado_pesado_base</t>
  </si>
  <si>
    <t>Estado de pesado para conversion (crudo/cocido/escurrido/seco/tal_cual).</t>
  </si>
  <si>
    <t>Metodo_preparacion</t>
  </si>
  <si>
    <t>Metodo (plancha/horno/frito/procesado/conserva). No se usa para conversion de gramos.</t>
  </si>
  <si>
    <t>Grupo_factor</t>
  </si>
  <si>
    <t>Clave para buscar factor en hoja Factores_Coccion.</t>
  </si>
  <si>
    <t>Sustituible_por_ID</t>
  </si>
  <si>
    <t>Lista de IDs alternativos (estable) para sustituciones.</t>
  </si>
  <si>
    <t>Si está en blanco = pendiente de completar con fuente. 0 solo si realmente no aporta fibra.</t>
  </si>
  <si>
    <t>crudo</t>
  </si>
  <si>
    <t>cocido</t>
  </si>
  <si>
    <t>carne</t>
  </si>
  <si>
    <t>arroz</t>
  </si>
  <si>
    <t>pasta</t>
  </si>
  <si>
    <t>Estado_base</t>
  </si>
  <si>
    <t>Estado_objetivo</t>
  </si>
  <si>
    <t>Factor_base_objetivo</t>
  </si>
  <si>
    <t>Nota</t>
  </si>
  <si>
    <t>Aprox. absorción de agua</t>
  </si>
  <si>
    <t>legumbre_seca</t>
  </si>
  <si>
    <t>seco</t>
  </si>
  <si>
    <t>Aprox. hidratación/cocción</t>
  </si>
  <si>
    <t>Aprox. merma por cocción</t>
  </si>
  <si>
    <t>Inverso de 2.3 (crudo-&gt;cocido)</t>
  </si>
  <si>
    <t>Inverso de 0.75 (crudo-&gt;cocido)</t>
  </si>
  <si>
    <t>Inverso de 2.2 (seco-&gt;cocido)</t>
  </si>
  <si>
    <t>Inverso de 2.5 (crudo-&gt;cocido)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</si>
</sst>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6"/>
      <color theme="1"/>
      <name val="Calibri"/>
      <scheme val="minor"/>
    </font>
    <font>
      <i/>
      <sz val="10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Omnívoro-style" pivot="0" count="3">
      <tableStyleElement type="headerRow" dxfId="8"/>
      <tableStyleElement type="firstRowStripe" dxfId="7"/>
      <tableStyleElement type="secondRowStripe" dxfId="6"/>
    </tableStyle>
    <tableStyle name="Vegetariano-style" pivot="0" count="3">
      <tableStyleElement type="headerRow" dxfId="5"/>
      <tableStyleElement type="firstRowStripe" dxfId="4"/>
      <tableStyleElement type="secondRowStripe" dxfId="3"/>
    </tableStyle>
    <tableStyle name="Base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sqref="A1:I1"/>
    </sheetView>
  </sheetViews>
  <sheetFormatPr baseColWidth="10" defaultColWidth="14.44140625" defaultRowHeight="15" customHeight="1" x14ac:dyDescent="0.3"/>
  <cols>
    <col min="1" max="1" width="14" customWidth="1"/>
    <col min="2" max="2" width="34" customWidth="1"/>
    <col min="3" max="4" width="10" customWidth="1"/>
    <col min="5" max="5" width="14" customWidth="1"/>
    <col min="6" max="6" width="12" customWidth="1"/>
    <col min="7" max="7" width="18" customWidth="1"/>
    <col min="8" max="8" width="10" customWidth="1"/>
    <col min="9" max="9" width="50" customWidth="1"/>
    <col min="10" max="26" width="8.6640625" customWidth="1"/>
  </cols>
  <sheetData>
    <row r="1" spans="1:9" ht="18" x14ac:dyDescent="0.3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4.4" x14ac:dyDescent="0.3">
      <c r="A2" s="10" t="s">
        <v>1</v>
      </c>
      <c r="B2" s="9"/>
      <c r="C2" s="9"/>
      <c r="D2" s="9"/>
      <c r="E2" s="9"/>
      <c r="F2" s="9"/>
      <c r="G2" s="9"/>
      <c r="H2" s="9"/>
      <c r="I2" s="9"/>
    </row>
    <row r="4" spans="1:9" ht="14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14.4" x14ac:dyDescent="0.3">
      <c r="A5" s="2"/>
      <c r="B5" s="2"/>
      <c r="C5" s="2"/>
      <c r="D5" s="2" t="str">
        <f>IF($B5="","",ROUND($C5/100*VLOOKUP($B5,#REF!,3,FALSE),0))</f>
        <v/>
      </c>
      <c r="E5" s="2" t="str">
        <f>IF($B5="","",ROUND($C5/100*VLOOKUP($B5,#REF!,4,FALSE),1))</f>
        <v/>
      </c>
      <c r="F5" s="2" t="str">
        <f>IF($B5="","",ROUND($C5/100*VLOOKUP($B5,#REF!,5,FALSE),1))</f>
        <v/>
      </c>
      <c r="G5" s="2" t="str">
        <f>IF($B5="","",ROUND($C5/100*VLOOKUP($B5,#REF!,6,FALSE),1))</f>
        <v/>
      </c>
      <c r="H5" s="2" t="str">
        <f>IF($B5="","",ROUND($C5/100*VLOOKUP($B5,#REF!,14,FALSE),1))</f>
        <v/>
      </c>
      <c r="I5" s="2" t="str">
        <f>IF($B5="","",VLOOKUP($B5,#REF!,16,FALSE))</f>
        <v/>
      </c>
    </row>
    <row r="6" spans="1:9" ht="14.4" x14ac:dyDescent="0.3">
      <c r="A6" s="2"/>
      <c r="B6" s="2"/>
      <c r="C6" s="2"/>
      <c r="D6" s="2" t="str">
        <f>IF($B6="","",ROUND($C6/100*VLOOKUP($B6,#REF!,3,FALSE),0))</f>
        <v/>
      </c>
      <c r="E6" s="2" t="str">
        <f>IF($B6="","",ROUND($C6/100*VLOOKUP($B6,#REF!,4,FALSE),1))</f>
        <v/>
      </c>
      <c r="F6" s="2" t="str">
        <f>IF($B6="","",ROUND($C6/100*VLOOKUP($B6,#REF!,5,FALSE),1))</f>
        <v/>
      </c>
      <c r="G6" s="2" t="str">
        <f>IF($B6="","",ROUND($C6/100*VLOOKUP($B6,#REF!,6,FALSE),1))</f>
        <v/>
      </c>
      <c r="H6" s="2" t="str">
        <f>IF($B6="","",ROUND($C6/100*VLOOKUP($B6,#REF!,14,FALSE),1))</f>
        <v/>
      </c>
      <c r="I6" s="2" t="str">
        <f>IF($B6="","",VLOOKUP($B6,#REF!,16,FALSE))</f>
        <v/>
      </c>
    </row>
    <row r="7" spans="1:9" ht="14.4" x14ac:dyDescent="0.3">
      <c r="A7" s="2"/>
      <c r="B7" s="2"/>
      <c r="C7" s="2"/>
      <c r="D7" s="2" t="str">
        <f>IF($B7="","",ROUND($C7/100*VLOOKUP($B7,#REF!,3,FALSE),0))</f>
        <v/>
      </c>
      <c r="E7" s="2" t="str">
        <f>IF($B7="","",ROUND($C7/100*VLOOKUP($B7,#REF!,4,FALSE),1))</f>
        <v/>
      </c>
      <c r="F7" s="2" t="str">
        <f>IF($B7="","",ROUND($C7/100*VLOOKUP($B7,#REF!,5,FALSE),1))</f>
        <v/>
      </c>
      <c r="G7" s="2" t="str">
        <f>IF($B7="","",ROUND($C7/100*VLOOKUP($B7,#REF!,6,FALSE),1))</f>
        <v/>
      </c>
      <c r="H7" s="2" t="str">
        <f>IF($B7="","",ROUND($C7/100*VLOOKUP($B7,#REF!,14,FALSE),1))</f>
        <v/>
      </c>
      <c r="I7" s="2" t="str">
        <f>IF($B7="","",VLOOKUP($B7,#REF!,16,FALSE))</f>
        <v/>
      </c>
    </row>
    <row r="8" spans="1:9" ht="14.4" x14ac:dyDescent="0.3">
      <c r="A8" s="2"/>
      <c r="B8" s="2"/>
      <c r="C8" s="2"/>
      <c r="D8" s="2" t="str">
        <f>IF($B8="","",ROUND($C8/100*VLOOKUP($B8,#REF!,3,FALSE),0))</f>
        <v/>
      </c>
      <c r="E8" s="2" t="str">
        <f>IF($B8="","",ROUND($C8/100*VLOOKUP($B8,#REF!,4,FALSE),1))</f>
        <v/>
      </c>
      <c r="F8" s="2" t="str">
        <f>IF($B8="","",ROUND($C8/100*VLOOKUP($B8,#REF!,5,FALSE),1))</f>
        <v/>
      </c>
      <c r="G8" s="2" t="str">
        <f>IF($B8="","",ROUND($C8/100*VLOOKUP($B8,#REF!,6,FALSE),1))</f>
        <v/>
      </c>
      <c r="H8" s="2" t="str">
        <f>IF($B8="","",ROUND($C8/100*VLOOKUP($B8,#REF!,14,FALSE),1))</f>
        <v/>
      </c>
      <c r="I8" s="2" t="str">
        <f>IF($B8="","",VLOOKUP($B8,#REF!,16,FALSE))</f>
        <v/>
      </c>
    </row>
    <row r="9" spans="1:9" ht="14.4" x14ac:dyDescent="0.3">
      <c r="A9" s="2"/>
      <c r="B9" s="2"/>
      <c r="C9" s="2"/>
      <c r="D9" s="2" t="str">
        <f>IF($B9="","",ROUND($C9/100*VLOOKUP($B9,#REF!,3,FALSE),0))</f>
        <v/>
      </c>
      <c r="E9" s="2" t="str">
        <f>IF($B9="","",ROUND($C9/100*VLOOKUP($B9,#REF!,4,FALSE),1))</f>
        <v/>
      </c>
      <c r="F9" s="2" t="str">
        <f>IF($B9="","",ROUND($C9/100*VLOOKUP($B9,#REF!,5,FALSE),1))</f>
        <v/>
      </c>
      <c r="G9" s="2" t="str">
        <f>IF($B9="","",ROUND($C9/100*VLOOKUP($B9,#REF!,6,FALSE),1))</f>
        <v/>
      </c>
      <c r="H9" s="2" t="str">
        <f>IF($B9="","",ROUND($C9/100*VLOOKUP($B9,#REF!,14,FALSE),1))</f>
        <v/>
      </c>
      <c r="I9" s="2" t="str">
        <f>IF($B9="","",VLOOKUP($B9,#REF!,16,FALSE))</f>
        <v/>
      </c>
    </row>
    <row r="10" spans="1:9" ht="14.4" x14ac:dyDescent="0.3">
      <c r="A10" s="2"/>
      <c r="B10" s="2"/>
      <c r="C10" s="2"/>
      <c r="D10" s="2" t="str">
        <f>IF($B10="","",ROUND($C10/100*VLOOKUP($B10,#REF!,3,FALSE),0))</f>
        <v/>
      </c>
      <c r="E10" s="2" t="str">
        <f>IF($B10="","",ROUND($C10/100*VLOOKUP($B10,#REF!,4,FALSE),1))</f>
        <v/>
      </c>
      <c r="F10" s="2" t="str">
        <f>IF($B10="","",ROUND($C10/100*VLOOKUP($B10,#REF!,5,FALSE),1))</f>
        <v/>
      </c>
      <c r="G10" s="2" t="str">
        <f>IF($B10="","",ROUND($C10/100*VLOOKUP($B10,#REF!,6,FALSE),1))</f>
        <v/>
      </c>
      <c r="H10" s="2" t="str">
        <f>IF($B10="","",ROUND($C10/100*VLOOKUP($B10,#REF!,14,FALSE),1))</f>
        <v/>
      </c>
      <c r="I10" s="2" t="str">
        <f>IF($B10="","",VLOOKUP($B10,#REF!,16,FALSE))</f>
        <v/>
      </c>
    </row>
    <row r="11" spans="1:9" ht="14.4" x14ac:dyDescent="0.3">
      <c r="A11" s="2"/>
      <c r="B11" s="2"/>
      <c r="C11" s="2"/>
      <c r="D11" s="2" t="str">
        <f>IF($B11="","",ROUND($C11/100*VLOOKUP($B11,#REF!,3,FALSE),0))</f>
        <v/>
      </c>
      <c r="E11" s="2" t="str">
        <f>IF($B11="","",ROUND($C11/100*VLOOKUP($B11,#REF!,4,FALSE),1))</f>
        <v/>
      </c>
      <c r="F11" s="2" t="str">
        <f>IF($B11="","",ROUND($C11/100*VLOOKUP($B11,#REF!,5,FALSE),1))</f>
        <v/>
      </c>
      <c r="G11" s="2" t="str">
        <f>IF($B11="","",ROUND($C11/100*VLOOKUP($B11,#REF!,6,FALSE),1))</f>
        <v/>
      </c>
      <c r="H11" s="2" t="str">
        <f>IF($B11="","",ROUND($C11/100*VLOOKUP($B11,#REF!,14,FALSE),1))</f>
        <v/>
      </c>
      <c r="I11" s="2" t="str">
        <f>IF($B11="","",VLOOKUP($B11,#REF!,16,FALSE))</f>
        <v/>
      </c>
    </row>
    <row r="12" spans="1:9" ht="14.4" x14ac:dyDescent="0.3">
      <c r="A12" s="2"/>
      <c r="B12" s="2"/>
      <c r="C12" s="2"/>
      <c r="D12" s="2" t="str">
        <f>IF($B12="","",ROUND($C12/100*VLOOKUP($B12,#REF!,3,FALSE),0))</f>
        <v/>
      </c>
      <c r="E12" s="2" t="str">
        <f>IF($B12="","",ROUND($C12/100*VLOOKUP($B12,#REF!,4,FALSE),1))</f>
        <v/>
      </c>
      <c r="F12" s="2" t="str">
        <f>IF($B12="","",ROUND($C12/100*VLOOKUP($B12,#REF!,5,FALSE),1))</f>
        <v/>
      </c>
      <c r="G12" s="2" t="str">
        <f>IF($B12="","",ROUND($C12/100*VLOOKUP($B12,#REF!,6,FALSE),1))</f>
        <v/>
      </c>
      <c r="H12" s="2" t="str">
        <f>IF($B12="","",ROUND($C12/100*VLOOKUP($B12,#REF!,14,FALSE),1))</f>
        <v/>
      </c>
      <c r="I12" s="2" t="str">
        <f>IF($B12="","",VLOOKUP($B12,#REF!,16,FALSE))</f>
        <v/>
      </c>
    </row>
    <row r="13" spans="1:9" ht="14.4" x14ac:dyDescent="0.3">
      <c r="A13" s="2"/>
      <c r="B13" s="2"/>
      <c r="C13" s="2"/>
      <c r="D13" s="2" t="str">
        <f>IF($B13="","",ROUND($C13/100*VLOOKUP($B13,#REF!,3,FALSE),0))</f>
        <v/>
      </c>
      <c r="E13" s="2" t="str">
        <f>IF($B13="","",ROUND($C13/100*VLOOKUP($B13,#REF!,4,FALSE),1))</f>
        <v/>
      </c>
      <c r="F13" s="2" t="str">
        <f>IF($B13="","",ROUND($C13/100*VLOOKUP($B13,#REF!,5,FALSE),1))</f>
        <v/>
      </c>
      <c r="G13" s="2" t="str">
        <f>IF($B13="","",ROUND($C13/100*VLOOKUP($B13,#REF!,6,FALSE),1))</f>
        <v/>
      </c>
      <c r="H13" s="2" t="str">
        <f>IF($B13="","",ROUND($C13/100*VLOOKUP($B13,#REF!,14,FALSE),1))</f>
        <v/>
      </c>
      <c r="I13" s="2" t="str">
        <f>IF($B13="","",VLOOKUP($B13,#REF!,16,FALSE))</f>
        <v/>
      </c>
    </row>
    <row r="14" spans="1:9" ht="14.4" x14ac:dyDescent="0.3">
      <c r="A14" s="2"/>
      <c r="B14" s="2"/>
      <c r="C14" s="2"/>
      <c r="D14" s="2" t="str">
        <f>IF($B14="","",ROUND($C14/100*VLOOKUP($B14,#REF!,3,FALSE),0))</f>
        <v/>
      </c>
      <c r="E14" s="2" t="str">
        <f>IF($B14="","",ROUND($C14/100*VLOOKUP($B14,#REF!,4,FALSE),1))</f>
        <v/>
      </c>
      <c r="F14" s="2" t="str">
        <f>IF($B14="","",ROUND($C14/100*VLOOKUP($B14,#REF!,5,FALSE),1))</f>
        <v/>
      </c>
      <c r="G14" s="2" t="str">
        <f>IF($B14="","",ROUND($C14/100*VLOOKUP($B14,#REF!,6,FALSE),1))</f>
        <v/>
      </c>
      <c r="H14" s="2" t="str">
        <f>IF($B14="","",ROUND($C14/100*VLOOKUP($B14,#REF!,14,FALSE),1))</f>
        <v/>
      </c>
      <c r="I14" s="2" t="str">
        <f>IF($B14="","",VLOOKUP($B14,#REF!,16,FALSE))</f>
        <v/>
      </c>
    </row>
    <row r="15" spans="1:9" ht="14.4" x14ac:dyDescent="0.3">
      <c r="A15" s="2"/>
      <c r="B15" s="2"/>
      <c r="C15" s="2"/>
      <c r="D15" s="2" t="str">
        <f>IF($B15="","",ROUND($C15/100*VLOOKUP($B15,#REF!,3,FALSE),0))</f>
        <v/>
      </c>
      <c r="E15" s="2" t="str">
        <f>IF($B15="","",ROUND($C15/100*VLOOKUP($B15,#REF!,4,FALSE),1))</f>
        <v/>
      </c>
      <c r="F15" s="2" t="str">
        <f>IF($B15="","",ROUND($C15/100*VLOOKUP($B15,#REF!,5,FALSE),1))</f>
        <v/>
      </c>
      <c r="G15" s="2" t="str">
        <f>IF($B15="","",ROUND($C15/100*VLOOKUP($B15,#REF!,6,FALSE),1))</f>
        <v/>
      </c>
      <c r="H15" s="2" t="str">
        <f>IF($B15="","",ROUND($C15/100*VLOOKUP($B15,#REF!,14,FALSE),1))</f>
        <v/>
      </c>
      <c r="I15" s="2" t="str">
        <f>IF($B15="","",VLOOKUP($B15,#REF!,16,FALSE))</f>
        <v/>
      </c>
    </row>
    <row r="16" spans="1:9" ht="14.4" x14ac:dyDescent="0.3">
      <c r="A16" s="2"/>
      <c r="B16" s="2"/>
      <c r="C16" s="2"/>
      <c r="D16" s="2" t="str">
        <f>IF($B16="","",ROUND($C16/100*VLOOKUP($B16,#REF!,3,FALSE),0))</f>
        <v/>
      </c>
      <c r="E16" s="2" t="str">
        <f>IF($B16="","",ROUND($C16/100*VLOOKUP($B16,#REF!,4,FALSE),1))</f>
        <v/>
      </c>
      <c r="F16" s="2" t="str">
        <f>IF($B16="","",ROUND($C16/100*VLOOKUP($B16,#REF!,5,FALSE),1))</f>
        <v/>
      </c>
      <c r="G16" s="2" t="str">
        <f>IF($B16="","",ROUND($C16/100*VLOOKUP($B16,#REF!,6,FALSE),1))</f>
        <v/>
      </c>
      <c r="H16" s="2" t="str">
        <f>IF($B16="","",ROUND($C16/100*VLOOKUP($B16,#REF!,14,FALSE),1))</f>
        <v/>
      </c>
      <c r="I16" s="2" t="str">
        <f>IF($B16="","",VLOOKUP($B16,#REF!,16,FALSE))</f>
        <v/>
      </c>
    </row>
    <row r="17" spans="1:9" ht="14.4" x14ac:dyDescent="0.3">
      <c r="A17" s="2"/>
      <c r="B17" s="2"/>
      <c r="C17" s="2"/>
      <c r="D17" s="2" t="str">
        <f>IF($B17="","",ROUND($C17/100*VLOOKUP($B17,#REF!,3,FALSE),0))</f>
        <v/>
      </c>
      <c r="E17" s="2" t="str">
        <f>IF($B17="","",ROUND($C17/100*VLOOKUP($B17,#REF!,4,FALSE),1))</f>
        <v/>
      </c>
      <c r="F17" s="2" t="str">
        <f>IF($B17="","",ROUND($C17/100*VLOOKUP($B17,#REF!,5,FALSE),1))</f>
        <v/>
      </c>
      <c r="G17" s="2" t="str">
        <f>IF($B17="","",ROUND($C17/100*VLOOKUP($B17,#REF!,6,FALSE),1))</f>
        <v/>
      </c>
      <c r="H17" s="2" t="str">
        <f>IF($B17="","",ROUND($C17/100*VLOOKUP($B17,#REF!,14,FALSE),1))</f>
        <v/>
      </c>
      <c r="I17" s="2" t="str">
        <f>IF($B17="","",VLOOKUP($B17,#REF!,16,FALSE))</f>
        <v/>
      </c>
    </row>
    <row r="18" spans="1:9" ht="14.4" x14ac:dyDescent="0.3">
      <c r="A18" s="2"/>
      <c r="B18" s="2"/>
      <c r="C18" s="2"/>
      <c r="D18" s="2" t="str">
        <f>IF($B18="","",ROUND($C18/100*VLOOKUP($B18,#REF!,3,FALSE),0))</f>
        <v/>
      </c>
      <c r="E18" s="2" t="str">
        <f>IF($B18="","",ROUND($C18/100*VLOOKUP($B18,#REF!,4,FALSE),1))</f>
        <v/>
      </c>
      <c r="F18" s="2" t="str">
        <f>IF($B18="","",ROUND($C18/100*VLOOKUP($B18,#REF!,5,FALSE),1))</f>
        <v/>
      </c>
      <c r="G18" s="2" t="str">
        <f>IF($B18="","",ROUND($C18/100*VLOOKUP($B18,#REF!,6,FALSE),1))</f>
        <v/>
      </c>
      <c r="H18" s="2" t="str">
        <f>IF($B18="","",ROUND($C18/100*VLOOKUP($B18,#REF!,14,FALSE),1))</f>
        <v/>
      </c>
      <c r="I18" s="2" t="str">
        <f>IF($B18="","",VLOOKUP($B18,#REF!,16,FALSE))</f>
        <v/>
      </c>
    </row>
    <row r="19" spans="1:9" ht="14.4" x14ac:dyDescent="0.3">
      <c r="A19" s="2"/>
      <c r="B19" s="2"/>
      <c r="C19" s="2"/>
      <c r="D19" s="2" t="str">
        <f>IF($B19="","",ROUND($C19/100*VLOOKUP($B19,#REF!,3,FALSE),0))</f>
        <v/>
      </c>
      <c r="E19" s="2" t="str">
        <f>IF($B19="","",ROUND($C19/100*VLOOKUP($B19,#REF!,4,FALSE),1))</f>
        <v/>
      </c>
      <c r="F19" s="2" t="str">
        <f>IF($B19="","",ROUND($C19/100*VLOOKUP($B19,#REF!,5,FALSE),1))</f>
        <v/>
      </c>
      <c r="G19" s="2" t="str">
        <f>IF($B19="","",ROUND($C19/100*VLOOKUP($B19,#REF!,6,FALSE),1))</f>
        <v/>
      </c>
      <c r="H19" s="2" t="str">
        <f>IF($B19="","",ROUND($C19/100*VLOOKUP($B19,#REF!,14,FALSE),1))</f>
        <v/>
      </c>
      <c r="I19" s="2" t="str">
        <f>IF($B19="","",VLOOKUP($B19,#REF!,16,FALSE))</f>
        <v/>
      </c>
    </row>
    <row r="20" spans="1:9" ht="14.4" x14ac:dyDescent="0.3">
      <c r="A20" s="2"/>
      <c r="B20" s="2"/>
      <c r="C20" s="2"/>
      <c r="D20" s="2" t="str">
        <f>IF($B20="","",ROUND($C20/100*VLOOKUP($B20,#REF!,3,FALSE),0))</f>
        <v/>
      </c>
      <c r="E20" s="2" t="str">
        <f>IF($B20="","",ROUND($C20/100*VLOOKUP($B20,#REF!,4,FALSE),1))</f>
        <v/>
      </c>
      <c r="F20" s="2" t="str">
        <f>IF($B20="","",ROUND($C20/100*VLOOKUP($B20,#REF!,5,FALSE),1))</f>
        <v/>
      </c>
      <c r="G20" s="2" t="str">
        <f>IF($B20="","",ROUND($C20/100*VLOOKUP($B20,#REF!,6,FALSE),1))</f>
        <v/>
      </c>
      <c r="H20" s="2" t="str">
        <f>IF($B20="","",ROUND($C20/100*VLOOKUP($B20,#REF!,14,FALSE),1))</f>
        <v/>
      </c>
      <c r="I20" s="2" t="str">
        <f>IF($B20="","",VLOOKUP($B20,#REF!,16,FALSE))</f>
        <v/>
      </c>
    </row>
    <row r="21" spans="1:9" ht="15.75" customHeight="1" x14ac:dyDescent="0.3">
      <c r="A21" s="2"/>
      <c r="B21" s="2"/>
      <c r="C21" s="2"/>
      <c r="D21" s="2" t="str">
        <f>IF($B21="","",ROUND($C21/100*VLOOKUP($B21,#REF!,3,FALSE),0))</f>
        <v/>
      </c>
      <c r="E21" s="2" t="str">
        <f>IF($B21="","",ROUND($C21/100*VLOOKUP($B21,#REF!,4,FALSE),1))</f>
        <v/>
      </c>
      <c r="F21" s="2" t="str">
        <f>IF($B21="","",ROUND($C21/100*VLOOKUP($B21,#REF!,5,FALSE),1))</f>
        <v/>
      </c>
      <c r="G21" s="2" t="str">
        <f>IF($B21="","",ROUND($C21/100*VLOOKUP($B21,#REF!,6,FALSE),1))</f>
        <v/>
      </c>
      <c r="H21" s="2" t="str">
        <f>IF($B21="","",ROUND($C21/100*VLOOKUP($B21,#REF!,14,FALSE),1))</f>
        <v/>
      </c>
      <c r="I21" s="2" t="str">
        <f>IF($B21="","",VLOOKUP($B21,#REF!,16,FALSE))</f>
        <v/>
      </c>
    </row>
    <row r="22" spans="1:9" ht="15.75" customHeight="1" x14ac:dyDescent="0.3">
      <c r="A22" s="2"/>
      <c r="B22" s="2"/>
      <c r="C22" s="2"/>
      <c r="D22" s="2" t="str">
        <f>IF($B22="","",ROUND($C22/100*VLOOKUP($B22,#REF!,3,FALSE),0))</f>
        <v/>
      </c>
      <c r="E22" s="2" t="str">
        <f>IF($B22="","",ROUND($C22/100*VLOOKUP($B22,#REF!,4,FALSE),1))</f>
        <v/>
      </c>
      <c r="F22" s="2" t="str">
        <f>IF($B22="","",ROUND($C22/100*VLOOKUP($B22,#REF!,5,FALSE),1))</f>
        <v/>
      </c>
      <c r="G22" s="2" t="str">
        <f>IF($B22="","",ROUND($C22/100*VLOOKUP($B22,#REF!,6,FALSE),1))</f>
        <v/>
      </c>
      <c r="H22" s="2" t="str">
        <f>IF($B22="","",ROUND($C22/100*VLOOKUP($B22,#REF!,14,FALSE),1))</f>
        <v/>
      </c>
      <c r="I22" s="2" t="str">
        <f>IF($B22="","",VLOOKUP($B22,#REF!,16,FALSE))</f>
        <v/>
      </c>
    </row>
    <row r="23" spans="1:9" ht="15.75" customHeight="1" x14ac:dyDescent="0.3">
      <c r="A23" s="2"/>
      <c r="B23" s="2"/>
      <c r="C23" s="2"/>
      <c r="D23" s="2" t="str">
        <f>IF($B23="","",ROUND($C23/100*VLOOKUP($B23,#REF!,3,FALSE),0))</f>
        <v/>
      </c>
      <c r="E23" s="2" t="str">
        <f>IF($B23="","",ROUND($C23/100*VLOOKUP($B23,#REF!,4,FALSE),1))</f>
        <v/>
      </c>
      <c r="F23" s="2" t="str">
        <f>IF($B23="","",ROUND($C23/100*VLOOKUP($B23,#REF!,5,FALSE),1))</f>
        <v/>
      </c>
      <c r="G23" s="2" t="str">
        <f>IF($B23="","",ROUND($C23/100*VLOOKUP($B23,#REF!,6,FALSE),1))</f>
        <v/>
      </c>
      <c r="H23" s="2" t="str">
        <f>IF($B23="","",ROUND($C23/100*VLOOKUP($B23,#REF!,14,FALSE),1))</f>
        <v/>
      </c>
      <c r="I23" s="2" t="str">
        <f>IF($B23="","",VLOOKUP($B23,#REF!,16,FALSE))</f>
        <v/>
      </c>
    </row>
    <row r="24" spans="1:9" ht="15.75" customHeight="1" x14ac:dyDescent="0.3">
      <c r="A24" s="2"/>
      <c r="B24" s="2"/>
      <c r="C24" s="2"/>
      <c r="D24" s="2" t="str">
        <f>IF($B24="","",ROUND($C24/100*VLOOKUP($B24,#REF!,3,FALSE),0))</f>
        <v/>
      </c>
      <c r="E24" s="2" t="str">
        <f>IF($B24="","",ROUND($C24/100*VLOOKUP($B24,#REF!,4,FALSE),1))</f>
        <v/>
      </c>
      <c r="F24" s="2" t="str">
        <f>IF($B24="","",ROUND($C24/100*VLOOKUP($B24,#REF!,5,FALSE),1))</f>
        <v/>
      </c>
      <c r="G24" s="2" t="str">
        <f>IF($B24="","",ROUND($C24/100*VLOOKUP($B24,#REF!,6,FALSE),1))</f>
        <v/>
      </c>
      <c r="H24" s="2" t="str">
        <f>IF($B24="","",ROUND($C24/100*VLOOKUP($B24,#REF!,14,FALSE),1))</f>
        <v/>
      </c>
      <c r="I24" s="2" t="str">
        <f>IF($B24="","",VLOOKUP($B24,#REF!,16,FALSE))</f>
        <v/>
      </c>
    </row>
    <row r="25" spans="1:9" ht="15.75" customHeight="1" x14ac:dyDescent="0.3">
      <c r="A25" s="3"/>
      <c r="B25" s="4" t="s">
        <v>11</v>
      </c>
      <c r="C25" s="3"/>
      <c r="D25" s="5">
        <f t="shared" ref="D25:H25" si="0">SUM(D5:D24)</f>
        <v>0</v>
      </c>
      <c r="E25" s="5">
        <f t="shared" si="0"/>
        <v>0</v>
      </c>
      <c r="F25" s="5">
        <f t="shared" si="0"/>
        <v>0</v>
      </c>
      <c r="G25" s="5">
        <f t="shared" si="0"/>
        <v>0</v>
      </c>
      <c r="H25" s="5">
        <f t="shared" si="0"/>
        <v>0</v>
      </c>
      <c r="I25" s="3"/>
    </row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44140625" defaultRowHeight="15" customHeight="1" x14ac:dyDescent="0.3"/>
  <cols>
    <col min="1" max="1" width="31" customWidth="1"/>
    <col min="2" max="2" width="78" customWidth="1"/>
    <col min="3" max="3" width="38.109375" customWidth="1"/>
    <col min="4" max="4" width="53.44140625" customWidth="1"/>
    <col min="5" max="5" width="81.33203125" customWidth="1"/>
    <col min="6" max="6" width="16.88671875" customWidth="1"/>
    <col min="7" max="26" width="8.6640625" customWidth="1"/>
  </cols>
  <sheetData>
    <row r="1" spans="1:6" ht="21" x14ac:dyDescent="0.3">
      <c r="A1" s="11" t="s">
        <v>12</v>
      </c>
      <c r="B1" s="9"/>
      <c r="C1" s="9"/>
      <c r="D1" s="9"/>
      <c r="E1" s="9"/>
      <c r="F1" s="9"/>
    </row>
    <row r="2" spans="1:6" ht="14.4" x14ac:dyDescent="0.3">
      <c r="A2" s="12" t="s">
        <v>13</v>
      </c>
      <c r="B2" s="9"/>
      <c r="C2" s="9"/>
      <c r="D2" s="9"/>
      <c r="E2" s="9"/>
      <c r="F2" s="9"/>
    </row>
    <row r="3" spans="1:6" ht="14.4" x14ac:dyDescent="0.3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/>
    </row>
    <row r="4" spans="1:6" ht="14.4" x14ac:dyDescent="0.3">
      <c r="A4" s="7" t="s">
        <v>3</v>
      </c>
      <c r="B4" s="7" t="s">
        <v>19</v>
      </c>
      <c r="C4" s="7" t="s">
        <v>20</v>
      </c>
      <c r="D4" s="7" t="s">
        <v>21</v>
      </c>
      <c r="E4" s="7" t="s">
        <v>22</v>
      </c>
    </row>
    <row r="5" spans="1:6" ht="14.4" x14ac:dyDescent="0.3">
      <c r="A5" s="7" t="s">
        <v>23</v>
      </c>
      <c r="B5" s="7" t="s">
        <v>24</v>
      </c>
      <c r="C5" s="7" t="s">
        <v>25</v>
      </c>
      <c r="D5" s="7" t="s">
        <v>26</v>
      </c>
      <c r="E5" s="7" t="s">
        <v>27</v>
      </c>
    </row>
    <row r="6" spans="1:6" ht="14.4" x14ac:dyDescent="0.3">
      <c r="A6" s="7" t="s">
        <v>28</v>
      </c>
      <c r="B6" s="7" t="s">
        <v>29</v>
      </c>
      <c r="C6" s="7" t="s">
        <v>30</v>
      </c>
      <c r="D6" s="7" t="s">
        <v>31</v>
      </c>
      <c r="E6" s="7" t="s">
        <v>32</v>
      </c>
    </row>
    <row r="7" spans="1:6" ht="14.4" x14ac:dyDescent="0.3">
      <c r="A7" s="7" t="s">
        <v>33</v>
      </c>
      <c r="B7" s="7" t="s">
        <v>34</v>
      </c>
      <c r="C7" s="7" t="s">
        <v>35</v>
      </c>
      <c r="D7" s="7" t="s">
        <v>36</v>
      </c>
      <c r="E7" s="7" t="s">
        <v>37</v>
      </c>
    </row>
    <row r="8" spans="1:6" ht="14.4" x14ac:dyDescent="0.3">
      <c r="A8" s="7" t="s">
        <v>38</v>
      </c>
      <c r="B8" s="7" t="s">
        <v>39</v>
      </c>
      <c r="C8" s="7" t="s">
        <v>40</v>
      </c>
      <c r="D8" s="7" t="s">
        <v>41</v>
      </c>
      <c r="E8" s="7" t="s">
        <v>42</v>
      </c>
    </row>
    <row r="9" spans="1:6" ht="14.4" x14ac:dyDescent="0.3">
      <c r="A9" s="7" t="s">
        <v>43</v>
      </c>
      <c r="B9" s="7" t="s">
        <v>44</v>
      </c>
      <c r="C9" s="7" t="s">
        <v>45</v>
      </c>
      <c r="D9" s="7" t="s">
        <v>46</v>
      </c>
      <c r="E9" s="7" t="s">
        <v>47</v>
      </c>
    </row>
    <row r="10" spans="1:6" ht="14.4" x14ac:dyDescent="0.3">
      <c r="A10" s="7" t="s">
        <v>48</v>
      </c>
      <c r="B10" s="7" t="s">
        <v>49</v>
      </c>
      <c r="C10" s="7" t="s">
        <v>50</v>
      </c>
      <c r="D10" s="7" t="s">
        <v>51</v>
      </c>
      <c r="E10" s="7" t="s">
        <v>52</v>
      </c>
    </row>
    <row r="11" spans="1:6" ht="14.4" x14ac:dyDescent="0.3">
      <c r="A11" s="7" t="s">
        <v>53</v>
      </c>
      <c r="B11" s="7" t="s">
        <v>54</v>
      </c>
      <c r="C11" s="7" t="s">
        <v>55</v>
      </c>
      <c r="D11" s="7" t="s">
        <v>56</v>
      </c>
      <c r="E11" s="7" t="s">
        <v>57</v>
      </c>
    </row>
    <row r="12" spans="1:6" ht="14.4" x14ac:dyDescent="0.3">
      <c r="A12" s="7" t="s">
        <v>18</v>
      </c>
      <c r="B12" s="7" t="s">
        <v>58</v>
      </c>
      <c r="C12" s="7" t="s">
        <v>59</v>
      </c>
      <c r="D12" s="7" t="s">
        <v>60</v>
      </c>
      <c r="E12" s="7" t="s">
        <v>61</v>
      </c>
    </row>
    <row r="13" spans="1:6" ht="14.4" x14ac:dyDescent="0.3">
      <c r="A13" s="7" t="s">
        <v>62</v>
      </c>
      <c r="B13" s="7" t="s">
        <v>63</v>
      </c>
      <c r="C13" s="7" t="s">
        <v>64</v>
      </c>
      <c r="D13" s="7" t="s">
        <v>65</v>
      </c>
      <c r="E13" s="7" t="s">
        <v>66</v>
      </c>
    </row>
    <row r="14" spans="1:6" ht="14.4" x14ac:dyDescent="0.3">
      <c r="A14" s="7" t="s">
        <v>9</v>
      </c>
      <c r="B14" s="7" t="s">
        <v>67</v>
      </c>
      <c r="C14" s="7" t="s">
        <v>68</v>
      </c>
      <c r="D14" s="7" t="s">
        <v>69</v>
      </c>
      <c r="E14" s="7" t="s">
        <v>70</v>
      </c>
    </row>
    <row r="15" spans="1:6" ht="14.4" x14ac:dyDescent="0.3">
      <c r="A15" s="7" t="s">
        <v>71</v>
      </c>
      <c r="B15" s="7" t="s">
        <v>72</v>
      </c>
      <c r="C15" s="7" t="s">
        <v>73</v>
      </c>
      <c r="D15" s="7" t="s">
        <v>74</v>
      </c>
      <c r="E15" s="7" t="s">
        <v>75</v>
      </c>
    </row>
    <row r="16" spans="1:6" ht="14.4" x14ac:dyDescent="0.3">
      <c r="A16" s="7" t="s">
        <v>10</v>
      </c>
      <c r="B16" s="7" t="s">
        <v>76</v>
      </c>
      <c r="C16" s="7" t="s">
        <v>77</v>
      </c>
      <c r="D16" s="7" t="s">
        <v>78</v>
      </c>
      <c r="E16" s="7" t="s">
        <v>79</v>
      </c>
    </row>
    <row r="18" spans="1:2" ht="14.4" x14ac:dyDescent="0.3">
      <c r="A18" s="7" t="s">
        <v>80</v>
      </c>
    </row>
    <row r="19" spans="1:2" ht="14.4" x14ac:dyDescent="0.3">
      <c r="A19" s="7" t="s">
        <v>81</v>
      </c>
      <c r="B19" s="7" t="s">
        <v>82</v>
      </c>
    </row>
    <row r="20" spans="1:2" ht="14.4" x14ac:dyDescent="0.3">
      <c r="A20" s="7" t="s">
        <v>83</v>
      </c>
      <c r="B20" s="7" t="s">
        <v>84</v>
      </c>
    </row>
    <row r="21" spans="1:2" ht="15.75" customHeight="1" x14ac:dyDescent="0.3">
      <c r="A21" s="7" t="s">
        <v>85</v>
      </c>
      <c r="B21" s="7" t="s">
        <v>86</v>
      </c>
    </row>
    <row r="22" spans="1:2" ht="15.75" customHeight="1" x14ac:dyDescent="0.3">
      <c r="A22" s="7" t="s">
        <v>87</v>
      </c>
      <c r="B22" s="7" t="s">
        <v>88</v>
      </c>
    </row>
    <row r="23" spans="1:2" ht="15.75" customHeight="1" x14ac:dyDescent="0.3">
      <c r="A23" s="7" t="s">
        <v>9</v>
      </c>
      <c r="B23" s="7" t="s">
        <v>89</v>
      </c>
    </row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/>
  </sheetViews>
  <sheetFormatPr baseColWidth="10" defaultColWidth="14.44140625" defaultRowHeight="15" customHeight="1" x14ac:dyDescent="0.3"/>
  <cols>
    <col min="1" max="1" width="14" customWidth="1"/>
    <col min="2" max="2" width="11.88671875" customWidth="1"/>
    <col min="3" max="3" width="14.88671875" customWidth="1"/>
    <col min="4" max="4" width="19.44140625" customWidth="1"/>
    <col min="5" max="5" width="28" customWidth="1"/>
    <col min="6" max="26" width="8.6640625" customWidth="1"/>
  </cols>
  <sheetData>
    <row r="1" spans="1:5" ht="14.4" x14ac:dyDescent="0.3">
      <c r="A1" s="7" t="s">
        <v>85</v>
      </c>
      <c r="B1" s="7" t="s">
        <v>95</v>
      </c>
      <c r="C1" s="7" t="s">
        <v>96</v>
      </c>
      <c r="D1" s="7" t="s">
        <v>97</v>
      </c>
      <c r="E1" s="7" t="s">
        <v>98</v>
      </c>
    </row>
    <row r="2" spans="1:5" ht="14.4" x14ac:dyDescent="0.3">
      <c r="A2" s="7" t="s">
        <v>93</v>
      </c>
      <c r="B2" s="7" t="s">
        <v>90</v>
      </c>
      <c r="C2" s="7" t="s">
        <v>91</v>
      </c>
      <c r="D2" s="7">
        <v>2.5</v>
      </c>
      <c r="E2" s="7" t="s">
        <v>99</v>
      </c>
    </row>
    <row r="3" spans="1:5" ht="14.4" x14ac:dyDescent="0.3">
      <c r="A3" s="7" t="s">
        <v>94</v>
      </c>
      <c r="B3" s="7" t="s">
        <v>90</v>
      </c>
      <c r="C3" s="7" t="s">
        <v>91</v>
      </c>
      <c r="D3" s="7">
        <v>2.2999999999999998</v>
      </c>
      <c r="E3" s="7" t="s">
        <v>99</v>
      </c>
    </row>
    <row r="4" spans="1:5" ht="14.4" x14ac:dyDescent="0.3">
      <c r="A4" s="7" t="s">
        <v>100</v>
      </c>
      <c r="B4" s="7" t="s">
        <v>101</v>
      </c>
      <c r="C4" s="7" t="s">
        <v>91</v>
      </c>
      <c r="D4" s="7">
        <v>2.2000000000000002</v>
      </c>
      <c r="E4" s="7" t="s">
        <v>102</v>
      </c>
    </row>
    <row r="5" spans="1:5" ht="14.4" x14ac:dyDescent="0.3">
      <c r="A5" s="7" t="s">
        <v>92</v>
      </c>
      <c r="B5" s="7" t="s">
        <v>90</v>
      </c>
      <c r="C5" s="7" t="s">
        <v>91</v>
      </c>
      <c r="D5" s="7">
        <v>0.75</v>
      </c>
      <c r="E5" s="7" t="s">
        <v>103</v>
      </c>
    </row>
    <row r="6" spans="1:5" ht="14.4" x14ac:dyDescent="0.3">
      <c r="A6" s="7" t="s">
        <v>94</v>
      </c>
      <c r="B6" s="7" t="s">
        <v>91</v>
      </c>
      <c r="C6" s="7" t="s">
        <v>90</v>
      </c>
      <c r="D6" s="7">
        <v>0.43478299999999998</v>
      </c>
      <c r="E6" s="7" t="s">
        <v>104</v>
      </c>
    </row>
    <row r="7" spans="1:5" ht="14.4" x14ac:dyDescent="0.3">
      <c r="A7" s="7" t="s">
        <v>92</v>
      </c>
      <c r="B7" s="7" t="s">
        <v>91</v>
      </c>
      <c r="C7" s="7" t="s">
        <v>90</v>
      </c>
      <c r="D7" s="7">
        <v>1.3333330000000001</v>
      </c>
      <c r="E7" s="7" t="s">
        <v>105</v>
      </c>
    </row>
    <row r="8" spans="1:5" ht="14.4" x14ac:dyDescent="0.3">
      <c r="A8" s="7" t="s">
        <v>100</v>
      </c>
      <c r="B8" s="7" t="s">
        <v>91</v>
      </c>
      <c r="C8" s="7" t="s">
        <v>101</v>
      </c>
      <c r="D8" s="7">
        <v>0.45454499999999998</v>
      </c>
      <c r="E8" s="7" t="s">
        <v>106</v>
      </c>
    </row>
    <row r="9" spans="1:5" ht="14.4" x14ac:dyDescent="0.3">
      <c r="A9" s="7" t="s">
        <v>93</v>
      </c>
      <c r="B9" s="7" t="s">
        <v>91</v>
      </c>
      <c r="C9" s="7" t="s">
        <v>90</v>
      </c>
      <c r="D9" s="7">
        <v>0.4</v>
      </c>
      <c r="E9" s="7" t="s">
        <v>107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Constructor</vt:lpstr>
      <vt:lpstr>Guía</vt:lpstr>
      <vt:lpstr>Factores_Coccion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Hernández</cp:lastModifiedBy>
  <dcterms:created xsi:type="dcterms:W3CDTF">2025-09-06T08:10:55Z</dcterms:created>
  <dcterms:modified xsi:type="dcterms:W3CDTF">2026-02-06T08:22:44Z</dcterms:modified>
</cp:coreProperties>
</file>